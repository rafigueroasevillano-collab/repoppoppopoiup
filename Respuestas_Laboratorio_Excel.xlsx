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keSales_2021" sheetId="1" state="visible" r:id="rId1"/>
    <sheet xmlns:r="http://schemas.openxmlformats.org/officeDocument/2006/relationships" name="BikeSales_2022" sheetId="2" state="visible" r:id="rId2"/>
    <sheet xmlns:r="http://schemas.openxmlformats.org/officeDocument/2006/relationships" name="Respuestas_Laborato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07C41"/>
      <sz val="14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07C41"/>
        <bgColor rgb="00107C41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5" customWidth="1" min="5" max="5"/>
    <col width="23" customWidth="1" min="6" max="6"/>
    <col width="18" customWidth="1" min="7" max="7"/>
    <col width="17" customWidth="1" min="8" max="8"/>
    <col width="19" customWidth="1" min="9" max="9"/>
    <col width="19" customWidth="1" min="10" max="10"/>
    <col width="17" customWidth="1" min="11" max="11"/>
    <col width="25" customWidth="1" min="12" max="12"/>
    <col width="17" customWidth="1" min="13" max="13"/>
    <col width="12" customWidth="1" min="14" max="14"/>
    <col width="13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Customer_Age</t>
        </is>
      </c>
      <c r="F1" s="1" t="inlineStr">
        <is>
          <t>Age_Group</t>
        </is>
      </c>
      <c r="G1" s="1" t="inlineStr">
        <is>
          <t>Customer_Gender</t>
        </is>
      </c>
      <c r="H1" s="1" t="inlineStr">
        <is>
          <t>Country</t>
        </is>
      </c>
      <c r="I1" s="1" t="inlineStr">
        <is>
          <t>State</t>
        </is>
      </c>
      <c r="J1" s="1" t="inlineStr">
        <is>
          <t>Product_Category</t>
        </is>
      </c>
      <c r="K1" s="1" t="inlineStr">
        <is>
          <t>Sub_Category</t>
        </is>
      </c>
      <c r="L1" s="1" t="inlineStr">
        <is>
          <t>Product</t>
        </is>
      </c>
      <c r="M1" s="1" t="inlineStr">
        <is>
          <t>Order_Quantity</t>
        </is>
      </c>
      <c r="N1" s="1" t="inlineStr">
        <is>
          <t>Unit_Cost</t>
        </is>
      </c>
      <c r="O1" s="1" t="inlineStr">
        <is>
          <t>Unit_Price</t>
        </is>
      </c>
      <c r="P1" s="1" t="inlineStr">
        <is>
          <t>Profit</t>
        </is>
      </c>
      <c r="Q1" s="1" t="inlineStr">
        <is>
          <t>Cost</t>
        </is>
      </c>
      <c r="R1" s="1" t="inlineStr">
        <is>
          <t>Revenue</t>
        </is>
      </c>
    </row>
    <row r="2">
      <c r="A2" s="2" t="n">
        <v>44227</v>
      </c>
      <c r="B2" t="n">
        <v>31</v>
      </c>
      <c r="C2" t="inlineStr">
        <is>
          <t>January</t>
        </is>
      </c>
      <c r="D2" t="n">
        <v>2021</v>
      </c>
      <c r="E2" t="n">
        <v>39</v>
      </c>
      <c r="F2" t="inlineStr">
        <is>
          <t>Adults (35-64)</t>
        </is>
      </c>
      <c r="G2" t="inlineStr">
        <is>
          <t>M</t>
        </is>
      </c>
      <c r="H2" t="inlineStr">
        <is>
          <t>United States</t>
        </is>
      </c>
      <c r="I2" t="inlineStr">
        <is>
          <t>Washington</t>
        </is>
      </c>
      <c r="J2" t="inlineStr">
        <is>
          <t>Bikes</t>
        </is>
      </c>
      <c r="K2" t="inlineStr">
        <is>
          <t>Road Bikes</t>
        </is>
      </c>
      <c r="L2" t="inlineStr">
        <is>
          <t>Road-550-W Yellow, 38</t>
        </is>
      </c>
      <c r="M2" t="n">
        <v>30</v>
      </c>
      <c r="N2" t="n">
        <v>713</v>
      </c>
      <c r="O2" t="n">
        <v>1120</v>
      </c>
      <c r="P2" t="n">
        <v>12210</v>
      </c>
      <c r="Q2" t="n">
        <v>21390</v>
      </c>
      <c r="R2" t="n">
        <v>33600</v>
      </c>
    </row>
    <row r="3">
      <c r="A3" s="2" t="n">
        <v>44255</v>
      </c>
      <c r="B3" t="n">
        <v>28</v>
      </c>
      <c r="C3" t="inlineStr">
        <is>
          <t>February</t>
        </is>
      </c>
      <c r="D3" t="n">
        <v>2021</v>
      </c>
      <c r="E3" t="n">
        <v>33</v>
      </c>
      <c r="F3" t="inlineStr">
        <is>
          <t>Young Adults (25-34)</t>
        </is>
      </c>
      <c r="G3" t="inlineStr">
        <is>
          <t>F</t>
        </is>
      </c>
      <c r="H3" t="inlineStr">
        <is>
          <t>France</t>
        </is>
      </c>
      <c r="I3" t="inlineStr">
        <is>
          <t>Yveline</t>
        </is>
      </c>
      <c r="J3" t="inlineStr">
        <is>
          <t>Bikes</t>
        </is>
      </c>
      <c r="K3" t="inlineStr">
        <is>
          <t>Road Bikes</t>
        </is>
      </c>
      <c r="L3" t="inlineStr">
        <is>
          <t>Road-150 Red, 48</t>
        </is>
      </c>
      <c r="M3" t="n">
        <v>20</v>
      </c>
      <c r="N3" t="n">
        <v>2171</v>
      </c>
      <c r="O3" t="n">
        <v>3578</v>
      </c>
      <c r="P3" t="n">
        <v>28140</v>
      </c>
      <c r="Q3" t="n">
        <v>43420</v>
      </c>
      <c r="R3" t="n">
        <v>71560</v>
      </c>
    </row>
    <row r="4">
      <c r="A4" s="2" t="n">
        <v>44286</v>
      </c>
      <c r="B4" t="n">
        <v>31</v>
      </c>
      <c r="C4" t="inlineStr">
        <is>
          <t>March</t>
        </is>
      </c>
      <c r="D4" t="n">
        <v>2021</v>
      </c>
      <c r="E4" t="n">
        <v>17</v>
      </c>
      <c r="F4" t="inlineStr">
        <is>
          <t>Youth (&lt;25)</t>
        </is>
      </c>
      <c r="G4" t="inlineStr">
        <is>
          <t>M</t>
        </is>
      </c>
      <c r="H4" t="inlineStr">
        <is>
          <t>Canada</t>
        </is>
      </c>
      <c r="I4" t="inlineStr">
        <is>
          <t>British Columbia</t>
        </is>
      </c>
      <c r="J4" t="inlineStr">
        <is>
          <t>Bikes</t>
        </is>
      </c>
      <c r="K4" t="inlineStr">
        <is>
          <t>Road Bikes</t>
        </is>
      </c>
      <c r="L4" t="inlineStr">
        <is>
          <t>Road-250 Red, 44</t>
        </is>
      </c>
      <c r="M4" t="n">
        <v>10</v>
      </c>
      <c r="N4" t="n">
        <v>1519</v>
      </c>
      <c r="O4" t="n">
        <v>2443</v>
      </c>
      <c r="P4" t="n">
        <v>9240</v>
      </c>
      <c r="Q4" t="n">
        <v>15190</v>
      </c>
      <c r="R4" t="n">
        <v>24430</v>
      </c>
    </row>
    <row r="5">
      <c r="A5" s="2" t="n">
        <v>44316</v>
      </c>
      <c r="B5" t="n">
        <v>30</v>
      </c>
      <c r="C5" t="inlineStr">
        <is>
          <t>April</t>
        </is>
      </c>
      <c r="D5" t="n">
        <v>2021</v>
      </c>
      <c r="E5" t="n">
        <v>23</v>
      </c>
      <c r="F5" t="inlineStr">
        <is>
          <t>Youth (&lt;25)</t>
        </is>
      </c>
      <c r="G5" t="inlineStr">
        <is>
          <t>M</t>
        </is>
      </c>
      <c r="H5" t="inlineStr">
        <is>
          <t>Australia</t>
        </is>
      </c>
      <c r="I5" t="inlineStr">
        <is>
          <t>Victoria</t>
        </is>
      </c>
      <c r="J5" t="inlineStr">
        <is>
          <t>Bikes</t>
        </is>
      </c>
      <c r="K5" t="inlineStr">
        <is>
          <t>Mountain Bikes</t>
        </is>
      </c>
      <c r="L5" t="inlineStr">
        <is>
          <t>Mountain-200 Black, 46</t>
        </is>
      </c>
      <c r="M5" t="n">
        <v>10</v>
      </c>
      <c r="N5" t="n">
        <v>1252</v>
      </c>
      <c r="O5" t="n">
        <v>2295</v>
      </c>
      <c r="P5" t="n">
        <v>10430</v>
      </c>
      <c r="Q5" t="n">
        <v>12520</v>
      </c>
      <c r="R5" t="n">
        <v>22950</v>
      </c>
    </row>
    <row r="6">
      <c r="A6" s="2" t="n">
        <v>44347</v>
      </c>
      <c r="B6" t="n">
        <v>31</v>
      </c>
      <c r="C6" t="inlineStr">
        <is>
          <t>May</t>
        </is>
      </c>
      <c r="D6" t="n">
        <v>2021</v>
      </c>
      <c r="E6" t="n">
        <v>42</v>
      </c>
      <c r="F6" t="inlineStr">
        <is>
          <t>Adults (35-64)</t>
        </is>
      </c>
      <c r="G6" t="inlineStr">
        <is>
          <t>M</t>
        </is>
      </c>
      <c r="H6" t="inlineStr">
        <is>
          <t>United States</t>
        </is>
      </c>
      <c r="I6" t="inlineStr">
        <is>
          <t>California</t>
        </is>
      </c>
      <c r="J6" t="inlineStr">
        <is>
          <t>Bikes</t>
        </is>
      </c>
      <c r="K6" t="inlineStr">
        <is>
          <t>Road Bikes</t>
        </is>
      </c>
      <c r="L6" t="inlineStr">
        <is>
          <t>Road-750 Black, 44</t>
        </is>
      </c>
      <c r="M6" t="n">
        <v>11</v>
      </c>
      <c r="N6" t="n">
        <v>344</v>
      </c>
      <c r="O6" t="n">
        <v>540</v>
      </c>
      <c r="P6" t="n">
        <v>2156</v>
      </c>
      <c r="Q6" t="n">
        <v>3784</v>
      </c>
      <c r="R6" t="n">
        <v>5940</v>
      </c>
    </row>
    <row r="7">
      <c r="A7" s="2" t="n">
        <v>44377</v>
      </c>
      <c r="B7" t="n">
        <v>30</v>
      </c>
      <c r="C7" t="inlineStr">
        <is>
          <t>June</t>
        </is>
      </c>
      <c r="D7" t="n">
        <v>2021</v>
      </c>
      <c r="E7" t="n">
        <v>40</v>
      </c>
      <c r="F7" t="inlineStr">
        <is>
          <t>Adults (35-64)</t>
        </is>
      </c>
      <c r="G7" t="inlineStr">
        <is>
          <t>M</t>
        </is>
      </c>
      <c r="H7" t="inlineStr">
        <is>
          <t>Australia</t>
        </is>
      </c>
      <c r="I7" t="inlineStr">
        <is>
          <t>Victoria</t>
        </is>
      </c>
      <c r="J7" t="inlineStr">
        <is>
          <t>Bikes</t>
        </is>
      </c>
      <c r="K7" t="inlineStr">
        <is>
          <t>Road Bikes</t>
        </is>
      </c>
      <c r="L7" t="inlineStr">
        <is>
          <t>Road-550-W Yellow, 40</t>
        </is>
      </c>
      <c r="M7" t="n">
        <v>14</v>
      </c>
      <c r="N7" t="n">
        <v>713</v>
      </c>
      <c r="O7" t="n">
        <v>1120</v>
      </c>
      <c r="P7" t="n">
        <v>5698</v>
      </c>
      <c r="Q7" t="n">
        <v>9982</v>
      </c>
      <c r="R7" t="n">
        <v>15680</v>
      </c>
    </row>
    <row r="8">
      <c r="A8" s="2" t="n">
        <v>44408</v>
      </c>
      <c r="B8" t="n">
        <v>31</v>
      </c>
      <c r="C8" t="inlineStr">
        <is>
          <t>July</t>
        </is>
      </c>
      <c r="D8" t="n">
        <v>2021</v>
      </c>
      <c r="E8" t="n">
        <v>41</v>
      </c>
      <c r="F8" t="inlineStr">
        <is>
          <t>Adults (35-64)</t>
        </is>
      </c>
      <c r="G8" t="inlineStr">
        <is>
          <t>F</t>
        </is>
      </c>
      <c r="H8" t="inlineStr">
        <is>
          <t>Australia</t>
        </is>
      </c>
      <c r="I8" t="inlineStr">
        <is>
          <t>Queensland</t>
        </is>
      </c>
      <c r="J8" t="inlineStr">
        <is>
          <t>Bikes</t>
        </is>
      </c>
      <c r="K8" t="inlineStr">
        <is>
          <t>Road Bikes</t>
        </is>
      </c>
      <c r="L8" t="inlineStr">
        <is>
          <t>Road-250 Red, 58</t>
        </is>
      </c>
      <c r="M8" t="n">
        <v>30</v>
      </c>
      <c r="N8" t="n">
        <v>1555</v>
      </c>
      <c r="O8" t="n">
        <v>2443</v>
      </c>
      <c r="P8" t="n">
        <v>26640</v>
      </c>
      <c r="Q8" t="n">
        <v>46650</v>
      </c>
      <c r="R8" t="n">
        <v>73290</v>
      </c>
    </row>
    <row r="9">
      <c r="A9" s="2" t="n">
        <v>44439</v>
      </c>
      <c r="B9" t="n">
        <v>31</v>
      </c>
      <c r="C9" t="inlineStr">
        <is>
          <t>August</t>
        </is>
      </c>
      <c r="D9" t="n">
        <v>2021</v>
      </c>
      <c r="E9" t="n">
        <v>32</v>
      </c>
      <c r="F9" t="inlineStr">
        <is>
          <t>Young Adults (25-34)</t>
        </is>
      </c>
      <c r="G9" t="inlineStr">
        <is>
          <t>M</t>
        </is>
      </c>
      <c r="H9" t="inlineStr">
        <is>
          <t>United Kingdom</t>
        </is>
      </c>
      <c r="I9" t="inlineStr">
        <is>
          <t>England</t>
        </is>
      </c>
      <c r="J9" t="inlineStr">
        <is>
          <t>Bikes</t>
        </is>
      </c>
      <c r="K9" t="inlineStr">
        <is>
          <t>Road Bikes</t>
        </is>
      </c>
      <c r="L9" t="inlineStr">
        <is>
          <t>Road-550-W Yellow, 38</t>
        </is>
      </c>
      <c r="M9" t="n">
        <v>14</v>
      </c>
      <c r="N9" t="n">
        <v>713</v>
      </c>
      <c r="O9" t="n">
        <v>1120</v>
      </c>
      <c r="P9" t="n">
        <v>5698</v>
      </c>
      <c r="Q9" t="n">
        <v>9982</v>
      </c>
      <c r="R9" t="n">
        <v>15680</v>
      </c>
    </row>
    <row r="10">
      <c r="A10" s="2" t="n">
        <v>44469</v>
      </c>
      <c r="B10" t="n">
        <v>30</v>
      </c>
      <c r="C10" t="inlineStr">
        <is>
          <t>September</t>
        </is>
      </c>
      <c r="D10" t="n">
        <v>2021</v>
      </c>
      <c r="E10" t="n">
        <v>35</v>
      </c>
      <c r="F10" t="inlineStr">
        <is>
          <t>Adults (35-64)</t>
        </is>
      </c>
      <c r="G10" t="inlineStr">
        <is>
          <t>F</t>
        </is>
      </c>
      <c r="H10" t="inlineStr">
        <is>
          <t>United States</t>
        </is>
      </c>
      <c r="I10" t="inlineStr">
        <is>
          <t>California</t>
        </is>
      </c>
      <c r="J10" t="inlineStr">
        <is>
          <t>Bikes</t>
        </is>
      </c>
      <c r="K10" t="inlineStr">
        <is>
          <t>Road Bikes</t>
        </is>
      </c>
      <c r="L10" t="inlineStr">
        <is>
          <t>Road-550-W Yellow, 48</t>
        </is>
      </c>
      <c r="M10" t="n">
        <v>12</v>
      </c>
      <c r="N10" t="n">
        <v>713</v>
      </c>
      <c r="O10" t="n">
        <v>1120</v>
      </c>
      <c r="P10" t="n">
        <v>4884</v>
      </c>
      <c r="Q10" t="n">
        <v>8556</v>
      </c>
      <c r="R10" t="n">
        <v>13440</v>
      </c>
    </row>
    <row r="11">
      <c r="A11" s="2" t="n">
        <v>44500</v>
      </c>
      <c r="B11" t="n">
        <v>31</v>
      </c>
      <c r="C11" t="inlineStr">
        <is>
          <t>October</t>
        </is>
      </c>
      <c r="D11" t="n">
        <v>2021</v>
      </c>
      <c r="E11" t="n">
        <v>28</v>
      </c>
      <c r="F11" t="inlineStr">
        <is>
          <t>Young Adults (25-34)</t>
        </is>
      </c>
      <c r="G11" t="inlineStr">
        <is>
          <t>M</t>
        </is>
      </c>
      <c r="H11" t="inlineStr">
        <is>
          <t>United Kingdom</t>
        </is>
      </c>
      <c r="I11" t="inlineStr">
        <is>
          <t>England</t>
        </is>
      </c>
      <c r="J11" t="inlineStr">
        <is>
          <t>Bikes</t>
        </is>
      </c>
      <c r="K11" t="inlineStr">
        <is>
          <t>Mountain Bikes</t>
        </is>
      </c>
      <c r="L11" t="inlineStr">
        <is>
          <t>Mountain-200 Black, 38</t>
        </is>
      </c>
      <c r="M11" t="n">
        <v>40</v>
      </c>
      <c r="N11" t="n">
        <v>1252</v>
      </c>
      <c r="O11" t="n">
        <v>2295</v>
      </c>
      <c r="P11" t="n">
        <v>41720</v>
      </c>
      <c r="Q11" t="n">
        <v>50080</v>
      </c>
      <c r="R11" t="n">
        <v>91800</v>
      </c>
    </row>
    <row r="12">
      <c r="A12" s="2" t="n">
        <v>44530</v>
      </c>
      <c r="B12" t="n">
        <v>30</v>
      </c>
      <c r="C12" t="inlineStr">
        <is>
          <t>November</t>
        </is>
      </c>
      <c r="D12" t="n">
        <v>2021</v>
      </c>
      <c r="E12" t="n">
        <v>39</v>
      </c>
      <c r="F12" t="inlineStr">
        <is>
          <t>Adults (35-64)</t>
        </is>
      </c>
      <c r="G12" t="inlineStr">
        <is>
          <t>F</t>
        </is>
      </c>
      <c r="H12" t="inlineStr">
        <is>
          <t>United States</t>
        </is>
      </c>
      <c r="I12" t="inlineStr">
        <is>
          <t>California</t>
        </is>
      </c>
      <c r="J12" t="inlineStr">
        <is>
          <t>Bikes</t>
        </is>
      </c>
      <c r="K12" t="inlineStr">
        <is>
          <t>Road Bikes</t>
        </is>
      </c>
      <c r="L12" t="inlineStr">
        <is>
          <t>Road-150 Red, 48</t>
        </is>
      </c>
      <c r="M12" t="n">
        <v>47</v>
      </c>
      <c r="N12" t="n">
        <v>2171</v>
      </c>
      <c r="O12" t="n">
        <v>3578</v>
      </c>
      <c r="P12" t="n">
        <v>66129</v>
      </c>
      <c r="Q12" t="n">
        <v>102037</v>
      </c>
      <c r="R12" t="n">
        <v>168166</v>
      </c>
    </row>
    <row r="13">
      <c r="A13" s="2" t="n">
        <v>44561</v>
      </c>
      <c r="B13" t="n">
        <v>31</v>
      </c>
      <c r="C13" t="inlineStr">
        <is>
          <t>December</t>
        </is>
      </c>
      <c r="D13" t="n">
        <v>2021</v>
      </c>
      <c r="E13" t="n">
        <v>45</v>
      </c>
      <c r="F13" t="inlineStr">
        <is>
          <t>Adults (35-64)</t>
        </is>
      </c>
      <c r="G13" t="inlineStr">
        <is>
          <t>M</t>
        </is>
      </c>
      <c r="H13" t="inlineStr">
        <is>
          <t>Canada</t>
        </is>
      </c>
      <c r="I13" t="inlineStr">
        <is>
          <t>British Columbia</t>
        </is>
      </c>
      <c r="J13" t="inlineStr">
        <is>
          <t>Bikes</t>
        </is>
      </c>
      <c r="K13" t="inlineStr">
        <is>
          <t>Road Bikes</t>
        </is>
      </c>
      <c r="L13" t="inlineStr">
        <is>
          <t>Road-750 Black, 44</t>
        </is>
      </c>
      <c r="M13" t="n">
        <v>32</v>
      </c>
      <c r="N13" t="n">
        <v>344</v>
      </c>
      <c r="O13" t="n">
        <v>540</v>
      </c>
      <c r="P13" t="n">
        <v>6272</v>
      </c>
      <c r="Q13" t="n">
        <v>11008</v>
      </c>
      <c r="R13" t="n">
        <v>17280</v>
      </c>
    </row>
    <row r="14">
      <c r="A14" s="2" t="n">
        <v>44592</v>
      </c>
      <c r="B14" t="n">
        <v>31</v>
      </c>
      <c r="C14" t="inlineStr">
        <is>
          <t>January</t>
        </is>
      </c>
      <c r="D14" t="n">
        <v>2022</v>
      </c>
      <c r="E14" t="n">
        <v>45</v>
      </c>
      <c r="F14" t="inlineStr">
        <is>
          <t>Adults (35-64)</t>
        </is>
      </c>
      <c r="G14" t="inlineStr">
        <is>
          <t>F</t>
        </is>
      </c>
      <c r="H14" t="inlineStr">
        <is>
          <t>Australia</t>
        </is>
      </c>
      <c r="I14" t="inlineStr">
        <is>
          <t>South Australia</t>
        </is>
      </c>
      <c r="J14" t="inlineStr">
        <is>
          <t>Bikes</t>
        </is>
      </c>
      <c r="K14" t="inlineStr">
        <is>
          <t>Road Bikes</t>
        </is>
      </c>
      <c r="L14" t="inlineStr">
        <is>
          <t>Road-750 Black, 48</t>
        </is>
      </c>
      <c r="M14" t="n">
        <v>28</v>
      </c>
      <c r="N14" t="n">
        <v>344</v>
      </c>
      <c r="O14" t="n">
        <v>540</v>
      </c>
      <c r="P14" t="n">
        <v>5488</v>
      </c>
      <c r="Q14" t="n">
        <v>9632</v>
      </c>
      <c r="R14" t="n">
        <v>15120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5" customWidth="1" min="5" max="5"/>
    <col width="23" customWidth="1" min="6" max="6"/>
    <col width="18" customWidth="1" min="7" max="7"/>
    <col width="17" customWidth="1" min="8" max="8"/>
    <col width="18" customWidth="1" min="9" max="9"/>
    <col width="19" customWidth="1" min="10" max="10"/>
    <col width="17" customWidth="1" min="11" max="11"/>
    <col width="26" customWidth="1" min="12" max="12"/>
    <col width="17" customWidth="1" min="13" max="13"/>
    <col width="12" customWidth="1" min="14" max="14"/>
    <col width="13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Customer_Age</t>
        </is>
      </c>
      <c r="F1" s="1" t="inlineStr">
        <is>
          <t>Age_Group</t>
        </is>
      </c>
      <c r="G1" s="1" t="inlineStr">
        <is>
          <t>Customer_Gender</t>
        </is>
      </c>
      <c r="H1" s="1" t="inlineStr">
        <is>
          <t>Country</t>
        </is>
      </c>
      <c r="I1" s="1" t="inlineStr">
        <is>
          <t>State</t>
        </is>
      </c>
      <c r="J1" s="1" t="inlineStr">
        <is>
          <t>Product_Category</t>
        </is>
      </c>
      <c r="K1" s="1" t="inlineStr">
        <is>
          <t>Sub_Category</t>
        </is>
      </c>
      <c r="L1" s="1" t="inlineStr">
        <is>
          <t>Product</t>
        </is>
      </c>
      <c r="M1" s="1" t="inlineStr">
        <is>
          <t>Order_Quantity</t>
        </is>
      </c>
      <c r="N1" s="1" t="inlineStr">
        <is>
          <t>Unit_Cost</t>
        </is>
      </c>
      <c r="O1" s="1" t="inlineStr">
        <is>
          <t>Unit_Price</t>
        </is>
      </c>
      <c r="P1" s="1" t="inlineStr">
        <is>
          <t>Profit</t>
        </is>
      </c>
      <c r="Q1" s="1" t="inlineStr">
        <is>
          <t>Cost</t>
        </is>
      </c>
      <c r="R1" s="1" t="inlineStr">
        <is>
          <t>Revenue</t>
        </is>
      </c>
    </row>
    <row r="2">
      <c r="A2" s="2" t="n">
        <v>44595</v>
      </c>
      <c r="B2" t="n">
        <v>27</v>
      </c>
      <c r="C2" t="inlineStr">
        <is>
          <t>February</t>
        </is>
      </c>
      <c r="D2" t="n">
        <v>2022</v>
      </c>
      <c r="E2" t="n">
        <v>29</v>
      </c>
      <c r="F2" t="inlineStr">
        <is>
          <t>Young Adults (25-34)</t>
        </is>
      </c>
      <c r="G2" t="inlineStr">
        <is>
          <t>F</t>
        </is>
      </c>
      <c r="H2" t="inlineStr">
        <is>
          <t>United States</t>
        </is>
      </c>
      <c r="I2" t="inlineStr">
        <is>
          <t>California</t>
        </is>
      </c>
      <c r="J2" t="inlineStr">
        <is>
          <t>Bikes</t>
        </is>
      </c>
      <c r="K2" t="inlineStr">
        <is>
          <t>Mountain Bikes</t>
        </is>
      </c>
      <c r="L2" t="inlineStr">
        <is>
          <t>Mountain-200 Silver, 42</t>
        </is>
      </c>
      <c r="M2" t="n">
        <v>18</v>
      </c>
      <c r="N2" t="n">
        <v>1266</v>
      </c>
      <c r="O2" t="n">
        <v>2320</v>
      </c>
      <c r="P2" t="n">
        <v>18972</v>
      </c>
      <c r="Q2" t="n">
        <v>22788</v>
      </c>
      <c r="R2" t="n">
        <v>41760</v>
      </c>
    </row>
    <row r="3">
      <c r="A3" s="2" t="n">
        <v>44623</v>
      </c>
      <c r="B3" t="n">
        <v>31</v>
      </c>
      <c r="C3" t="inlineStr">
        <is>
          <t>March</t>
        </is>
      </c>
      <c r="D3" t="n">
        <v>2022</v>
      </c>
      <c r="E3" t="n">
        <v>38</v>
      </c>
      <c r="F3" t="inlineStr">
        <is>
          <t>Adults (35-64)</t>
        </is>
      </c>
      <c r="G3" t="inlineStr">
        <is>
          <t>M</t>
        </is>
      </c>
      <c r="H3" t="inlineStr">
        <is>
          <t>United Kingdom</t>
        </is>
      </c>
      <c r="I3" t="inlineStr">
        <is>
          <t>England</t>
        </is>
      </c>
      <c r="J3" t="inlineStr">
        <is>
          <t>Bikes</t>
        </is>
      </c>
      <c r="K3" t="inlineStr">
        <is>
          <t>Mountain Bikes</t>
        </is>
      </c>
      <c r="L3" t="inlineStr">
        <is>
          <t>Mountain-200 Silver, 42</t>
        </is>
      </c>
      <c r="M3" t="n">
        <v>16</v>
      </c>
      <c r="N3" t="n">
        <v>1266</v>
      </c>
      <c r="O3" t="n">
        <v>2320</v>
      </c>
      <c r="P3" t="n">
        <v>16864</v>
      </c>
      <c r="Q3" t="n">
        <v>20256</v>
      </c>
      <c r="R3" t="n">
        <v>37120</v>
      </c>
    </row>
    <row r="4">
      <c r="A4" s="2" t="n">
        <v>44654</v>
      </c>
      <c r="B4" t="n">
        <v>30</v>
      </c>
      <c r="C4" t="inlineStr">
        <is>
          <t>April</t>
        </is>
      </c>
      <c r="D4" t="n">
        <v>2022</v>
      </c>
      <c r="E4" t="n">
        <v>42</v>
      </c>
      <c r="F4" t="inlineStr">
        <is>
          <t>Adults (35-64)</t>
        </is>
      </c>
      <c r="G4" t="inlineStr">
        <is>
          <t>F</t>
        </is>
      </c>
      <c r="H4" t="inlineStr">
        <is>
          <t>Australia</t>
        </is>
      </c>
      <c r="I4" t="inlineStr">
        <is>
          <t>Victoria</t>
        </is>
      </c>
      <c r="J4" t="inlineStr">
        <is>
          <t>Bikes</t>
        </is>
      </c>
      <c r="K4" t="inlineStr">
        <is>
          <t>Road Bikes</t>
        </is>
      </c>
      <c r="L4" t="inlineStr">
        <is>
          <t>Road-750 Black, 48</t>
        </is>
      </c>
      <c r="M4" t="n">
        <v>11</v>
      </c>
      <c r="N4" t="n">
        <v>344</v>
      </c>
      <c r="O4" t="n">
        <v>540</v>
      </c>
      <c r="P4" t="n">
        <v>2156</v>
      </c>
      <c r="Q4" t="n">
        <v>3784</v>
      </c>
      <c r="R4" t="n">
        <v>5940</v>
      </c>
    </row>
    <row r="5">
      <c r="A5" s="2" t="n">
        <v>44684</v>
      </c>
      <c r="B5" t="n">
        <v>31</v>
      </c>
      <c r="C5" t="inlineStr">
        <is>
          <t>May</t>
        </is>
      </c>
      <c r="D5" t="n">
        <v>2022</v>
      </c>
      <c r="E5" t="n">
        <v>47</v>
      </c>
      <c r="F5" t="inlineStr">
        <is>
          <t>Adults (35-64)</t>
        </is>
      </c>
      <c r="G5" t="inlineStr">
        <is>
          <t>M</t>
        </is>
      </c>
      <c r="H5" t="inlineStr">
        <is>
          <t>Australia</t>
        </is>
      </c>
      <c r="I5" t="inlineStr">
        <is>
          <t>South Australia</t>
        </is>
      </c>
      <c r="J5" t="inlineStr">
        <is>
          <t>Bikes</t>
        </is>
      </c>
      <c r="K5" t="inlineStr">
        <is>
          <t>Road Bikes</t>
        </is>
      </c>
      <c r="L5" t="inlineStr">
        <is>
          <t>Road-550-W Yellow, 44</t>
        </is>
      </c>
      <c r="M5" t="n">
        <v>17</v>
      </c>
      <c r="N5" t="n">
        <v>713</v>
      </c>
      <c r="O5" t="n">
        <v>1120</v>
      </c>
      <c r="P5" t="n">
        <v>6919</v>
      </c>
      <c r="Q5" t="n">
        <v>12121</v>
      </c>
      <c r="R5" t="n">
        <v>19040</v>
      </c>
    </row>
    <row r="6">
      <c r="A6" s="2" t="n">
        <v>44716</v>
      </c>
      <c r="B6" t="n">
        <v>30</v>
      </c>
      <c r="C6" t="inlineStr">
        <is>
          <t>June</t>
        </is>
      </c>
      <c r="D6" t="n">
        <v>2022</v>
      </c>
      <c r="E6" t="n">
        <v>28</v>
      </c>
      <c r="F6" t="inlineStr">
        <is>
          <t>Young Adults (25-34)</t>
        </is>
      </c>
      <c r="G6" t="inlineStr">
        <is>
          <t>M</t>
        </is>
      </c>
      <c r="H6" t="inlineStr">
        <is>
          <t>United Kingdom</t>
        </is>
      </c>
      <c r="I6" t="inlineStr">
        <is>
          <t>England</t>
        </is>
      </c>
      <c r="J6" t="inlineStr">
        <is>
          <t>Bikes</t>
        </is>
      </c>
      <c r="K6" t="inlineStr">
        <is>
          <t>Mountain Bikes</t>
        </is>
      </c>
      <c r="L6" t="inlineStr">
        <is>
          <t>Mountain-200 Black, 38</t>
        </is>
      </c>
      <c r="M6" t="n">
        <v>36</v>
      </c>
      <c r="N6" t="n">
        <v>1252</v>
      </c>
      <c r="O6" t="n">
        <v>2295</v>
      </c>
      <c r="P6" t="n">
        <v>37548</v>
      </c>
      <c r="Q6" t="n">
        <v>45072</v>
      </c>
      <c r="R6" t="n">
        <v>82620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65" customWidth="1" min="3" max="3"/>
  </cols>
  <sheetData>
    <row r="1">
      <c r="A1" s="3" t="inlineStr">
        <is>
          <t>3.1.4 Práctica de Laboratorio: Combinación de Datos Relevantes en Excel</t>
        </is>
      </c>
    </row>
    <row r="3">
      <c r="A3" s="1" t="inlineStr">
        <is>
          <t>Pregunta / Paso del Laboratorio</t>
        </is>
      </c>
      <c r="B3" s="1" t="inlineStr">
        <is>
          <t>Respuesta / Valor en Excel</t>
        </is>
      </c>
      <c r="C3" s="1" t="inlineStr">
        <is>
          <t>Fórmula / Explicación</t>
        </is>
      </c>
    </row>
    <row r="4">
      <c r="A4" s="4" t="inlineStr">
        <is>
          <t>Parte 2 - Paso 1: Valor en la celda A2 (Costo Promedio 2021)</t>
        </is>
      </c>
      <c r="B4" s="5" t="inlineStr">
        <is>
          <t>$26,479.31</t>
        </is>
      </c>
      <c r="C4" s="6">
        <f>PROMEDIO('BikeSales_2021'!Q2:Q14)</f>
        <v/>
      </c>
    </row>
    <row r="5">
      <c r="A5" s="4" t="inlineStr">
        <is>
          <t>Parte 2 - Paso 1: Valor en la celda B2 (Ingresos Promedio 2021)</t>
        </is>
      </c>
      <c r="B5" s="5" t="inlineStr">
        <is>
          <t>$43,764.31</t>
        </is>
      </c>
      <c r="C5" s="6">
        <f>PROMEDIO('BikeSales_2021'!R2:R14)</f>
        <v/>
      </c>
    </row>
    <row r="6">
      <c r="A6" s="4" t="inlineStr">
        <is>
          <t>Parte 2 - Paso 2: ¿Qué sucede con A2 tras cambiar Q6 a $30,000.00?</t>
        </is>
      </c>
      <c r="B6" s="5" t="inlineStr">
        <is>
          <t>$28,495.92</t>
        </is>
      </c>
      <c r="C6" s="6" t="inlineStr">
        <is>
          <t>El promedio aumenta automáticamente tras refrescar los vínculos.</t>
        </is>
      </c>
    </row>
    <row r="7">
      <c r="A7" s="4" t="inlineStr">
        <is>
          <t>Parte 2 - Paso 2: ¿Cuál es el valor en la celda P6?</t>
        </is>
      </c>
      <c r="B7" s="5" t="inlineStr">
        <is>
          <t>$2,156.00</t>
        </is>
      </c>
      <c r="C7" s="6" t="inlineStr">
        <is>
          <t>Valor registrado en la celda P6 de la Hoja1.</t>
        </is>
      </c>
    </row>
    <row r="8">
      <c r="A8" s="4" t="inlineStr">
        <is>
          <t>Reflexión: ¿En qué situaciones usar Vínculos a Libros?</t>
        </is>
      </c>
      <c r="B8" s="5" t="inlineStr">
        <is>
          <t>Consolidación de ventas, presupuestos departamentales e inventarios.</t>
        </is>
      </c>
      <c r="C8" s="6" t="inlineStr">
        <is>
          <t>Permite sincronizar múltiples fuentes de datos sin duplicar información manualmente.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2026-10-05T18:56:31Z</dcterms:created>
  <dcterms:modified xmlns:dcterms="http://purl.org/dc/terms/" xmlns:xsi="http://www.w3.org/2001/XMLSchema-instance" xsi:type="dcterms:W3CDTF">2026-10-05T18:56:31Z</dcterms:modified>
</cp:coreProperties>
</file>