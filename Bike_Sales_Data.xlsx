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ke_Sales_Data" sheetId="1" r:id="rId5"/>
  </sheets>
  <definedNames/>
  <calcPr/>
</workbook>
</file>

<file path=xl/sharedStrings.xml><?xml version="1.0" encoding="utf-8"?>
<sst xmlns="http://schemas.openxmlformats.org/spreadsheetml/2006/main" count="26" uniqueCount="20">
  <si>
    <t>Fecha</t>
  </si>
  <si>
    <t>País</t>
  </si>
  <si>
    <t>Estado</t>
  </si>
  <si>
    <t>Producto</t>
  </si>
  <si>
    <t>Cantidad_Pedida</t>
  </si>
  <si>
    <t>Costo_Unitario</t>
  </si>
  <si>
    <t>Precio_Unitario</t>
  </si>
  <si>
    <t>Costo_Total</t>
  </si>
  <si>
    <t>Ingresos</t>
  </si>
  <si>
    <t>Ganancia</t>
  </si>
  <si>
    <t>United States</t>
  </si>
  <si>
    <t>California</t>
  </si>
  <si>
    <t>Bikes</t>
  </si>
  <si>
    <t>Washington</t>
  </si>
  <si>
    <t>Germany</t>
  </si>
  <si>
    <t>Brandenburg</t>
  </si>
  <si>
    <t>Hamburg</t>
  </si>
  <si>
    <t>United Kingdom</t>
  </si>
  <si>
    <t>England</t>
  </si>
  <si>
    <t>Total 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</si>
</sst>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44208.0</v>
      </c>
      <c r="B2" s="1" t="s">
        <v>10</v>
      </c>
      <c r="C2" s="1" t="s">
        <v>11</v>
      </c>
      <c r="D2" s="1" t="s">
        <v>12</v>
      </c>
      <c r="E2" s="1">
        <v>4.0</v>
      </c>
      <c r="F2" s="3">
        <v>1252.0</v>
      </c>
      <c r="G2" s="3">
        <v>2249.0</v>
      </c>
      <c r="H2" s="4">
        <f t="shared" ref="H2:H6" si="1">E2*F2</f>
        <v>5008</v>
      </c>
      <c r="I2" s="4">
        <f t="shared" ref="I2:I6" si="2">E2*G2</f>
        <v>8996</v>
      </c>
      <c r="J2" s="4">
        <f t="shared" ref="J2:J6" si="3">I2-H2</f>
        <v>3988</v>
      </c>
    </row>
    <row r="3">
      <c r="A3" s="2">
        <v>44208.0</v>
      </c>
      <c r="B3" s="1" t="s">
        <v>10</v>
      </c>
      <c r="C3" s="1" t="s">
        <v>13</v>
      </c>
      <c r="D3" s="1" t="s">
        <v>12</v>
      </c>
      <c r="E3" s="1">
        <v>3.0</v>
      </c>
      <c r="F3" s="3">
        <v>344.0</v>
      </c>
      <c r="G3" s="3">
        <v>421.33</v>
      </c>
      <c r="H3" s="4">
        <f t="shared" si="1"/>
        <v>1032</v>
      </c>
      <c r="I3" s="4">
        <f t="shared" si="2"/>
        <v>1263.99</v>
      </c>
      <c r="J3" s="4">
        <f t="shared" si="3"/>
        <v>231.99</v>
      </c>
    </row>
    <row r="4">
      <c r="A4" s="2">
        <v>44208.0</v>
      </c>
      <c r="B4" s="1" t="s">
        <v>14</v>
      </c>
      <c r="C4" s="1" t="s">
        <v>15</v>
      </c>
      <c r="D4" s="1" t="s">
        <v>12</v>
      </c>
      <c r="E4" s="1">
        <v>2.0</v>
      </c>
      <c r="F4" s="3">
        <v>713.0</v>
      </c>
      <c r="G4" s="3">
        <v>1109.0</v>
      </c>
      <c r="H4" s="4">
        <f t="shared" si="1"/>
        <v>1426</v>
      </c>
      <c r="I4" s="4">
        <f t="shared" si="2"/>
        <v>2218</v>
      </c>
      <c r="J4" s="4">
        <f t="shared" si="3"/>
        <v>792</v>
      </c>
    </row>
    <row r="5">
      <c r="A5" s="2">
        <v>44208.0</v>
      </c>
      <c r="B5" s="1" t="s">
        <v>14</v>
      </c>
      <c r="C5" s="1" t="s">
        <v>16</v>
      </c>
      <c r="D5" s="1" t="s">
        <v>12</v>
      </c>
      <c r="E5" s="1">
        <v>1.0</v>
      </c>
      <c r="F5" s="3">
        <v>1555.0</v>
      </c>
      <c r="G5" s="3">
        <v>2272.0</v>
      </c>
      <c r="H5" s="4">
        <f t="shared" si="1"/>
        <v>1555</v>
      </c>
      <c r="I5" s="4">
        <f t="shared" si="2"/>
        <v>2272</v>
      </c>
      <c r="J5" s="4">
        <f t="shared" si="3"/>
        <v>717</v>
      </c>
    </row>
    <row r="6">
      <c r="A6" s="2">
        <v>44208.0</v>
      </c>
      <c r="B6" s="1" t="s">
        <v>17</v>
      </c>
      <c r="C6" s="1" t="s">
        <v>18</v>
      </c>
      <c r="D6" s="1" t="s">
        <v>12</v>
      </c>
      <c r="E6" s="1">
        <v>1.0</v>
      </c>
      <c r="F6" s="3">
        <v>2171.0</v>
      </c>
      <c r="G6" s="3">
        <v>3435.0</v>
      </c>
      <c r="H6" s="4">
        <f t="shared" si="1"/>
        <v>2171</v>
      </c>
      <c r="I6" s="4">
        <f t="shared" si="2"/>
        <v>3435</v>
      </c>
      <c r="J6" s="4">
        <f t="shared" si="3"/>
        <v>1264</v>
      </c>
    </row>
    <row r="7">
      <c r="H7" s="1" t="s">
        <v>19</v>
      </c>
      <c r="I7" s="4">
        <f t="shared" ref="I7:J7" si="4">SUM(I2:I6)</f>
        <v>18184.99</v>
      </c>
      <c r="J7" s="4">
        <f t="shared" si="4"/>
        <v>6992.99</v>
      </c>
    </row>
  </sheetData>
  <drawing r:id="rId1"/>
</worksheet>
</file>